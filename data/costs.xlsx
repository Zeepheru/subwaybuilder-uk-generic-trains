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P:\Code2\1_PROJ_GROUPS\10_TrainGames\Subway Builder\Modding\subwaybuilder-uk-generic-trains\data\"/>
    </mc:Choice>
  </mc:AlternateContent>
  <xr:revisionPtr revIDLastSave="0" documentId="13_ncr:1_{0E769ACC-07C8-4060-8BBB-AEBCD2BA8AD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rain Running Co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1" l="1"/>
  <c r="K15" i="1"/>
  <c r="J16" i="1"/>
  <c r="K16" i="1"/>
  <c r="J17" i="1"/>
  <c r="K17" i="1"/>
  <c r="J18" i="1"/>
  <c r="K18" i="1"/>
  <c r="L4" i="1"/>
  <c r="M4" i="1"/>
  <c r="L5" i="1"/>
  <c r="M5" i="1"/>
  <c r="L6" i="1"/>
  <c r="M6" i="1"/>
  <c r="N4" i="1"/>
  <c r="O4" i="1"/>
  <c r="N5" i="1"/>
  <c r="O5" i="1"/>
  <c r="N6" i="1"/>
  <c r="O6" i="1"/>
  <c r="N7" i="1"/>
  <c r="O7" i="1"/>
  <c r="N8" i="1"/>
  <c r="O8" i="1"/>
  <c r="N9" i="1"/>
  <c r="O9" i="1"/>
  <c r="N10" i="1"/>
  <c r="O10" i="1"/>
  <c r="P4" i="1"/>
  <c r="Q4" i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R4" i="1"/>
  <c r="S4" i="1"/>
  <c r="R5" i="1"/>
  <c r="S5" i="1"/>
  <c r="R6" i="1"/>
  <c r="S6" i="1"/>
  <c r="R7" i="1"/>
  <c r="S7" i="1"/>
  <c r="R8" i="1"/>
  <c r="S8" i="1"/>
  <c r="R9" i="1"/>
  <c r="S9" i="1"/>
  <c r="R10" i="1"/>
  <c r="S10" i="1"/>
  <c r="R11" i="1"/>
  <c r="S11" i="1"/>
  <c r="R12" i="1"/>
  <c r="S12" i="1"/>
  <c r="V4" i="1"/>
  <c r="W4" i="1"/>
  <c r="V5" i="1"/>
  <c r="W5" i="1"/>
  <c r="V6" i="1"/>
  <c r="W6" i="1"/>
  <c r="V7" i="1"/>
  <c r="W7" i="1"/>
  <c r="V8" i="1"/>
  <c r="W8" i="1"/>
  <c r="V9" i="1"/>
  <c r="W9" i="1"/>
  <c r="V10" i="1"/>
  <c r="W10" i="1"/>
  <c r="V11" i="1"/>
  <c r="W11" i="1"/>
  <c r="V12" i="1"/>
  <c r="W12" i="1"/>
  <c r="V13" i="1"/>
  <c r="W13" i="1"/>
  <c r="V14" i="1"/>
  <c r="W14" i="1"/>
  <c r="T4" i="1"/>
  <c r="U4" i="1"/>
  <c r="T5" i="1"/>
  <c r="U5" i="1"/>
  <c r="T6" i="1"/>
  <c r="U6" i="1"/>
  <c r="T7" i="1"/>
  <c r="U7" i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X4" i="1"/>
  <c r="Y4" i="1"/>
  <c r="X5" i="1"/>
  <c r="Y5" i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X13" i="1"/>
  <c r="Y13" i="1"/>
  <c r="X14" i="1"/>
  <c r="Y14" i="1"/>
  <c r="X15" i="1"/>
  <c r="Y15" i="1"/>
  <c r="X16" i="1"/>
  <c r="Y16" i="1"/>
  <c r="Z4" i="1"/>
  <c r="AA4" i="1"/>
  <c r="Z5" i="1"/>
  <c r="AA5" i="1"/>
  <c r="Z6" i="1"/>
  <c r="AA6" i="1"/>
  <c r="Z7" i="1"/>
  <c r="AA7" i="1"/>
  <c r="Z8" i="1"/>
  <c r="AA8" i="1"/>
  <c r="Z9" i="1"/>
  <c r="AA9" i="1"/>
  <c r="Z10" i="1"/>
  <c r="AA10" i="1"/>
  <c r="AA3" i="1"/>
  <c r="Y3" i="1"/>
  <c r="W3" i="1"/>
  <c r="U3" i="1"/>
  <c r="S3" i="1"/>
  <c r="Q3" i="1"/>
  <c r="M3" i="1"/>
  <c r="O3" i="1"/>
  <c r="Z3" i="1"/>
  <c r="X3" i="1"/>
  <c r="V3" i="1"/>
  <c r="T3" i="1"/>
  <c r="R3" i="1"/>
  <c r="P3" i="1"/>
  <c r="N3" i="1"/>
  <c r="L3" i="1"/>
  <c r="K4" i="1"/>
  <c r="K5" i="1"/>
  <c r="K6" i="1"/>
  <c r="K7" i="1"/>
  <c r="K8" i="1"/>
  <c r="K9" i="1"/>
  <c r="K10" i="1"/>
  <c r="K11" i="1"/>
  <c r="K12" i="1"/>
  <c r="K13" i="1"/>
  <c r="K14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J4" i="1"/>
  <c r="J5" i="1"/>
  <c r="J6" i="1"/>
  <c r="J7" i="1"/>
  <c r="J8" i="1"/>
  <c r="J9" i="1"/>
  <c r="J10" i="1"/>
  <c r="J11" i="1"/>
  <c r="J12" i="1"/>
  <c r="J13" i="1"/>
  <c r="J14" i="1"/>
  <c r="J3" i="1"/>
  <c r="K3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</calcChain>
</file>

<file path=xl/sharedStrings.xml><?xml version="1.0" encoding="utf-8"?>
<sst xmlns="http://schemas.openxmlformats.org/spreadsheetml/2006/main" count="45" uniqueCount="20">
  <si>
    <t>Capacity</t>
  </si>
  <si>
    <t>Heavy Metro</t>
  </si>
  <si>
    <t>Heavy Metro (UK)</t>
  </si>
  <si>
    <t>n</t>
  </si>
  <si>
    <t>Cost</t>
  </si>
  <si>
    <t>Light Metro</t>
  </si>
  <si>
    <t>Light Metro (UK)</t>
  </si>
  <si>
    <t>Cost (Train)</t>
  </si>
  <si>
    <t>Cost (Car)</t>
  </si>
  <si>
    <t>MaxLength</t>
  </si>
  <si>
    <t>Light Rail</t>
  </si>
  <si>
    <t>Light Rail (UK)</t>
  </si>
  <si>
    <t>Electric Commuter Rail</t>
  </si>
  <si>
    <t>Electric Commuter Rail (UK)</t>
  </si>
  <si>
    <t>Diesel Commuter Rail</t>
  </si>
  <si>
    <t>Diesel Commuter Rail (UK)</t>
  </si>
  <si>
    <t>E Commuter Rail</t>
  </si>
  <si>
    <t>E Commuter Rail (UK)</t>
  </si>
  <si>
    <t>D Commuter Rail</t>
  </si>
  <si>
    <t>D Commuter Rail (UK)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</si>
</sst>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Heavy Metro Capacity-Running Costs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Heavy Metro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'Train Running Costs'!$I$3:$I$17</c:f>
              <c:numCache>
                <c:formatCode>General</c:formatCode>
                <c:ptCount val="15"/>
                <c:pt idx="0">
                  <c:v>240</c:v>
                </c:pt>
                <c:pt idx="1">
                  <c:v>480</c:v>
                </c:pt>
                <c:pt idx="2">
                  <c:v>720</c:v>
                </c:pt>
                <c:pt idx="3">
                  <c:v>960</c:v>
                </c:pt>
                <c:pt idx="4">
                  <c:v>1200</c:v>
                </c:pt>
                <c:pt idx="5">
                  <c:v>1440</c:v>
                </c:pt>
                <c:pt idx="6">
                  <c:v>1680</c:v>
                </c:pt>
                <c:pt idx="7">
                  <c:v>1920</c:v>
                </c:pt>
                <c:pt idx="8">
                  <c:v>2160</c:v>
                </c:pt>
                <c:pt idx="9">
                  <c:v>2400</c:v>
                </c:pt>
                <c:pt idx="10">
                  <c:v>2640</c:v>
                </c:pt>
                <c:pt idx="11">
                  <c:v>2880</c:v>
                </c:pt>
                <c:pt idx="12">
                  <c:v>3120</c:v>
                </c:pt>
                <c:pt idx="13">
                  <c:v>3360</c:v>
                </c:pt>
                <c:pt idx="14">
                  <c:v>3600</c:v>
                </c:pt>
              </c:numCache>
            </c:numRef>
          </c:xVal>
          <c:yVal>
            <c:numRef>
              <c:f>'Train Running Costs'!$H$3:$H$17</c:f>
              <c:numCache>
                <c:formatCode>General</c:formatCode>
                <c:ptCount val="15"/>
                <c:pt idx="0">
                  <c:v>275</c:v>
                </c:pt>
                <c:pt idx="1">
                  <c:v>300</c:v>
                </c:pt>
                <c:pt idx="2">
                  <c:v>325</c:v>
                </c:pt>
                <c:pt idx="3">
                  <c:v>350</c:v>
                </c:pt>
                <c:pt idx="4">
                  <c:v>375</c:v>
                </c:pt>
                <c:pt idx="5">
                  <c:v>400</c:v>
                </c:pt>
                <c:pt idx="6">
                  <c:v>425</c:v>
                </c:pt>
                <c:pt idx="7">
                  <c:v>450</c:v>
                </c:pt>
                <c:pt idx="8">
                  <c:v>475</c:v>
                </c:pt>
                <c:pt idx="9">
                  <c:v>500</c:v>
                </c:pt>
                <c:pt idx="10">
                  <c:v>525</c:v>
                </c:pt>
                <c:pt idx="11">
                  <c:v>550</c:v>
                </c:pt>
                <c:pt idx="12">
                  <c:v>575</c:v>
                </c:pt>
                <c:pt idx="13">
                  <c:v>600</c:v>
                </c:pt>
                <c:pt idx="14">
                  <c:v>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D1-4841-A57B-693BE9E0AC37}"/>
            </c:ext>
          </c:extLst>
        </c:ser>
        <c:ser>
          <c:idx val="1"/>
          <c:order val="1"/>
          <c:tx>
            <c:v>Heavy Metro (UK)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'Train Running Costs'!$K$3:$K$18</c:f>
              <c:numCache>
                <c:formatCode>General</c:formatCode>
                <c:ptCount val="16"/>
                <c:pt idx="0">
                  <c:v>141</c:v>
                </c:pt>
                <c:pt idx="1">
                  <c:v>282</c:v>
                </c:pt>
                <c:pt idx="2">
                  <c:v>423</c:v>
                </c:pt>
                <c:pt idx="3">
                  <c:v>564</c:v>
                </c:pt>
                <c:pt idx="4">
                  <c:v>705</c:v>
                </c:pt>
                <c:pt idx="5">
                  <c:v>846</c:v>
                </c:pt>
                <c:pt idx="6">
                  <c:v>987</c:v>
                </c:pt>
                <c:pt idx="7">
                  <c:v>1128</c:v>
                </c:pt>
                <c:pt idx="8">
                  <c:v>1269</c:v>
                </c:pt>
                <c:pt idx="9">
                  <c:v>1410</c:v>
                </c:pt>
                <c:pt idx="10">
                  <c:v>1551</c:v>
                </c:pt>
                <c:pt idx="11">
                  <c:v>1692</c:v>
                </c:pt>
                <c:pt idx="12">
                  <c:v>1833</c:v>
                </c:pt>
                <c:pt idx="13">
                  <c:v>1974</c:v>
                </c:pt>
                <c:pt idx="14">
                  <c:v>2115</c:v>
                </c:pt>
                <c:pt idx="15">
                  <c:v>2256</c:v>
                </c:pt>
              </c:numCache>
            </c:numRef>
          </c:xVal>
          <c:yVal>
            <c:numRef>
              <c:f>'Train Running Costs'!$J$3:$J$18</c:f>
              <c:numCache>
                <c:formatCode>General</c:formatCode>
                <c:ptCount val="16"/>
                <c:pt idx="0">
                  <c:v>234</c:v>
                </c:pt>
                <c:pt idx="1">
                  <c:v>248</c:v>
                </c:pt>
                <c:pt idx="2">
                  <c:v>262</c:v>
                </c:pt>
                <c:pt idx="3">
                  <c:v>276</c:v>
                </c:pt>
                <c:pt idx="4">
                  <c:v>290</c:v>
                </c:pt>
                <c:pt idx="5">
                  <c:v>304</c:v>
                </c:pt>
                <c:pt idx="6">
                  <c:v>318</c:v>
                </c:pt>
                <c:pt idx="7">
                  <c:v>332</c:v>
                </c:pt>
                <c:pt idx="8">
                  <c:v>346</c:v>
                </c:pt>
                <c:pt idx="9">
                  <c:v>360</c:v>
                </c:pt>
                <c:pt idx="10">
                  <c:v>374</c:v>
                </c:pt>
                <c:pt idx="11">
                  <c:v>388</c:v>
                </c:pt>
                <c:pt idx="12">
                  <c:v>402</c:v>
                </c:pt>
                <c:pt idx="13">
                  <c:v>416</c:v>
                </c:pt>
                <c:pt idx="14">
                  <c:v>430</c:v>
                </c:pt>
                <c:pt idx="15">
                  <c:v>444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D1-4841-A57B-693BE9E0A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999551"/>
        <c:axId val="1738629664"/>
      </c:scatterChart>
      <c:valAx>
        <c:axId val="150499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 Train Capacity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629664"/>
        <c:crosses val="autoZero"/>
        <c:crossBetween val="midCat"/>
      </c:valAx>
      <c:valAx>
        <c:axId val="173862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Cost/hr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999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Light Metro Capacity-Running Costs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Light Metro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'Train Running Costs'!$M$3:$M$6</c:f>
              <c:numCache>
                <c:formatCode>General</c:formatCode>
                <c:ptCount val="4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</c:numCache>
            </c:numRef>
          </c:xVal>
          <c:yVal>
            <c:numRef>
              <c:f>'Train Running Costs'!$L$3:$L$6</c:f>
              <c:numCache>
                <c:formatCode>General</c:formatCode>
                <c:ptCount val="4"/>
                <c:pt idx="0">
                  <c:v>200</c:v>
                </c:pt>
                <c:pt idx="1">
                  <c:v>220</c:v>
                </c:pt>
                <c:pt idx="2">
                  <c:v>240</c:v>
                </c:pt>
                <c:pt idx="3">
                  <c:v>260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5A-49FB-B967-6D68919CDC4B}"/>
            </c:ext>
          </c:extLst>
        </c:ser>
        <c:ser>
          <c:idx val="1"/>
          <c:order val="1"/>
          <c:tx>
            <c:v>Light Metro (UK)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'Train Running Costs'!$O$3:$O$10</c:f>
              <c:numCache>
                <c:formatCode>General</c:formatCode>
                <c:ptCount val="8"/>
                <c:pt idx="0">
                  <c:v>135</c:v>
                </c:pt>
                <c:pt idx="1">
                  <c:v>270</c:v>
                </c:pt>
                <c:pt idx="2">
                  <c:v>405</c:v>
                </c:pt>
                <c:pt idx="3">
                  <c:v>540</c:v>
                </c:pt>
                <c:pt idx="4">
                  <c:v>675</c:v>
                </c:pt>
                <c:pt idx="5">
                  <c:v>810</c:v>
                </c:pt>
                <c:pt idx="6">
                  <c:v>945</c:v>
                </c:pt>
                <c:pt idx="7">
                  <c:v>1080</c:v>
                </c:pt>
              </c:numCache>
            </c:numRef>
          </c:xVal>
          <c:yVal>
            <c:numRef>
              <c:f>'Train Running Costs'!$N$3:$N$10</c:f>
              <c:numCache>
                <c:formatCode>General</c:formatCode>
                <c:ptCount val="8"/>
                <c:pt idx="0">
                  <c:v>154</c:v>
                </c:pt>
                <c:pt idx="1">
                  <c:v>168</c:v>
                </c:pt>
                <c:pt idx="2">
                  <c:v>182</c:v>
                </c:pt>
                <c:pt idx="3">
                  <c:v>196</c:v>
                </c:pt>
                <c:pt idx="4">
                  <c:v>210</c:v>
                </c:pt>
                <c:pt idx="5">
                  <c:v>224</c:v>
                </c:pt>
                <c:pt idx="6">
                  <c:v>238</c:v>
                </c:pt>
                <c:pt idx="7">
                  <c:v>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5A-49FB-B967-6D68919CD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999551"/>
        <c:axId val="1738629664"/>
      </c:scatterChart>
      <c:valAx>
        <c:axId val="150499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 Train Capacity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629664"/>
        <c:crosses val="autoZero"/>
        <c:crossBetween val="midCat"/>
      </c:valAx>
      <c:valAx>
        <c:axId val="173862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Cost/hr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999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Light Rail Capacity-Running Costs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Light Rail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'Train Running Costs'!$Q$3:$Q$14</c:f>
              <c:numCache>
                <c:formatCode>General</c:formatCode>
                <c:ptCount val="12"/>
                <c:pt idx="0">
                  <c:v>77</c:v>
                </c:pt>
                <c:pt idx="1">
                  <c:v>154</c:v>
                </c:pt>
                <c:pt idx="2">
                  <c:v>231</c:v>
                </c:pt>
                <c:pt idx="3">
                  <c:v>308</c:v>
                </c:pt>
                <c:pt idx="4">
                  <c:v>385</c:v>
                </c:pt>
                <c:pt idx="5">
                  <c:v>462</c:v>
                </c:pt>
                <c:pt idx="6">
                  <c:v>539</c:v>
                </c:pt>
                <c:pt idx="7">
                  <c:v>616</c:v>
                </c:pt>
                <c:pt idx="8">
                  <c:v>693</c:v>
                </c:pt>
                <c:pt idx="9">
                  <c:v>770</c:v>
                </c:pt>
                <c:pt idx="10">
                  <c:v>847</c:v>
                </c:pt>
                <c:pt idx="11">
                  <c:v>924</c:v>
                </c:pt>
              </c:numCache>
            </c:numRef>
          </c:xVal>
          <c:yVal>
            <c:numRef>
              <c:f>'Train Running Costs'!$P$3:$P$14</c:f>
              <c:numCache>
                <c:formatCode>General</c:formatCode>
                <c:ptCount val="12"/>
                <c:pt idx="0">
                  <c:v>240</c:v>
                </c:pt>
                <c:pt idx="1">
                  <c:v>260</c:v>
                </c:pt>
                <c:pt idx="2">
                  <c:v>280</c:v>
                </c:pt>
                <c:pt idx="3">
                  <c:v>300</c:v>
                </c:pt>
                <c:pt idx="4">
                  <c:v>320</c:v>
                </c:pt>
                <c:pt idx="5">
                  <c:v>340</c:v>
                </c:pt>
                <c:pt idx="6">
                  <c:v>360</c:v>
                </c:pt>
                <c:pt idx="7">
                  <c:v>380</c:v>
                </c:pt>
                <c:pt idx="8">
                  <c:v>400</c:v>
                </c:pt>
                <c:pt idx="9">
                  <c:v>420</c:v>
                </c:pt>
                <c:pt idx="10">
                  <c:v>440</c:v>
                </c:pt>
                <c:pt idx="11">
                  <c:v>460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73-4894-AEE5-F28775B952D9}"/>
            </c:ext>
          </c:extLst>
        </c:ser>
        <c:ser>
          <c:idx val="1"/>
          <c:order val="1"/>
          <c:tx>
            <c:v>Light Rail (UK)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'Train Running Costs'!$S$3:$S$12</c:f>
              <c:numCache>
                <c:formatCode>General</c:formatCode>
                <c:ptCount val="10"/>
                <c:pt idx="0">
                  <c:v>103</c:v>
                </c:pt>
                <c:pt idx="1">
                  <c:v>206</c:v>
                </c:pt>
                <c:pt idx="2">
                  <c:v>309</c:v>
                </c:pt>
                <c:pt idx="3">
                  <c:v>412</c:v>
                </c:pt>
                <c:pt idx="4">
                  <c:v>515</c:v>
                </c:pt>
                <c:pt idx="5">
                  <c:v>618</c:v>
                </c:pt>
                <c:pt idx="6">
                  <c:v>721</c:v>
                </c:pt>
                <c:pt idx="7">
                  <c:v>824</c:v>
                </c:pt>
                <c:pt idx="8">
                  <c:v>927</c:v>
                </c:pt>
                <c:pt idx="9">
                  <c:v>1030</c:v>
                </c:pt>
              </c:numCache>
            </c:numRef>
          </c:xVal>
          <c:yVal>
            <c:numRef>
              <c:f>'Train Running Costs'!$R$3:$R$12</c:f>
              <c:numCache>
                <c:formatCode>General</c:formatCode>
                <c:ptCount val="10"/>
                <c:pt idx="0">
                  <c:v>235</c:v>
                </c:pt>
                <c:pt idx="1">
                  <c:v>260</c:v>
                </c:pt>
                <c:pt idx="2">
                  <c:v>285</c:v>
                </c:pt>
                <c:pt idx="3">
                  <c:v>310</c:v>
                </c:pt>
                <c:pt idx="4">
                  <c:v>335</c:v>
                </c:pt>
                <c:pt idx="5">
                  <c:v>360</c:v>
                </c:pt>
                <c:pt idx="6">
                  <c:v>385</c:v>
                </c:pt>
                <c:pt idx="7">
                  <c:v>410</c:v>
                </c:pt>
                <c:pt idx="8">
                  <c:v>435</c:v>
                </c:pt>
                <c:pt idx="9">
                  <c:v>460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73-4894-AEE5-F28775B95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999551"/>
        <c:axId val="1738629664"/>
      </c:scatterChart>
      <c:valAx>
        <c:axId val="150499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 Train Capacity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629664"/>
        <c:crosses val="autoZero"/>
        <c:crossBetween val="midCat"/>
      </c:valAx>
      <c:valAx>
        <c:axId val="173862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Cost/hr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999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Electric Commuter Rail Capacity-Running Costs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Electric Commuter Rail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'Train Running Costs'!$U$3:$U$16</c:f>
              <c:numCache>
                <c:formatCode>General</c:formatCode>
                <c:ptCount val="14"/>
                <c:pt idx="0">
                  <c:v>112</c:v>
                </c:pt>
                <c:pt idx="1">
                  <c:v>224</c:v>
                </c:pt>
                <c:pt idx="2">
                  <c:v>336</c:v>
                </c:pt>
                <c:pt idx="3">
                  <c:v>448</c:v>
                </c:pt>
                <c:pt idx="4">
                  <c:v>560</c:v>
                </c:pt>
                <c:pt idx="5">
                  <c:v>672</c:v>
                </c:pt>
                <c:pt idx="6">
                  <c:v>784</c:v>
                </c:pt>
                <c:pt idx="7">
                  <c:v>896</c:v>
                </c:pt>
                <c:pt idx="8">
                  <c:v>1008</c:v>
                </c:pt>
                <c:pt idx="9">
                  <c:v>1120</c:v>
                </c:pt>
                <c:pt idx="10">
                  <c:v>1232</c:v>
                </c:pt>
                <c:pt idx="11">
                  <c:v>1344</c:v>
                </c:pt>
                <c:pt idx="12">
                  <c:v>1456</c:v>
                </c:pt>
                <c:pt idx="13">
                  <c:v>1568</c:v>
                </c:pt>
              </c:numCache>
            </c:numRef>
          </c:xVal>
          <c:yVal>
            <c:numRef>
              <c:f>'Train Running Costs'!$T$3:$T$16</c:f>
              <c:numCache>
                <c:formatCode>General</c:formatCode>
                <c:ptCount val="14"/>
                <c:pt idx="0">
                  <c:v>535</c:v>
                </c:pt>
                <c:pt idx="1">
                  <c:v>570</c:v>
                </c:pt>
                <c:pt idx="2">
                  <c:v>605</c:v>
                </c:pt>
                <c:pt idx="3">
                  <c:v>640</c:v>
                </c:pt>
                <c:pt idx="4">
                  <c:v>675</c:v>
                </c:pt>
                <c:pt idx="5">
                  <c:v>710</c:v>
                </c:pt>
                <c:pt idx="6">
                  <c:v>745</c:v>
                </c:pt>
                <c:pt idx="7">
                  <c:v>780</c:v>
                </c:pt>
                <c:pt idx="8">
                  <c:v>815</c:v>
                </c:pt>
                <c:pt idx="9">
                  <c:v>850</c:v>
                </c:pt>
                <c:pt idx="10">
                  <c:v>885</c:v>
                </c:pt>
                <c:pt idx="11">
                  <c:v>920</c:v>
                </c:pt>
                <c:pt idx="12">
                  <c:v>955</c:v>
                </c:pt>
                <c:pt idx="13">
                  <c:v>990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5B-4980-9A9F-C5E65D3EC98A}"/>
            </c:ext>
          </c:extLst>
        </c:ser>
        <c:ser>
          <c:idx val="1"/>
          <c:order val="1"/>
          <c:tx>
            <c:v>Electric Commuter Rail (UK)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'Train Running Costs'!$W$3:$W$14</c:f>
              <c:numCache>
                <c:formatCode>General</c:formatCode>
                <c:ptCount val="12"/>
                <c:pt idx="0">
                  <c:v>166</c:v>
                </c:pt>
                <c:pt idx="1">
                  <c:v>332</c:v>
                </c:pt>
                <c:pt idx="2">
                  <c:v>498</c:v>
                </c:pt>
                <c:pt idx="3">
                  <c:v>664</c:v>
                </c:pt>
                <c:pt idx="4">
                  <c:v>830</c:v>
                </c:pt>
                <c:pt idx="5">
                  <c:v>996</c:v>
                </c:pt>
                <c:pt idx="6">
                  <c:v>1162</c:v>
                </c:pt>
                <c:pt idx="7">
                  <c:v>1328</c:v>
                </c:pt>
                <c:pt idx="8">
                  <c:v>1494</c:v>
                </c:pt>
                <c:pt idx="9">
                  <c:v>1660</c:v>
                </c:pt>
                <c:pt idx="10">
                  <c:v>1826</c:v>
                </c:pt>
                <c:pt idx="11">
                  <c:v>1992</c:v>
                </c:pt>
              </c:numCache>
            </c:numRef>
          </c:xVal>
          <c:yVal>
            <c:numRef>
              <c:f>'Train Running Costs'!$V$3:$V$14</c:f>
              <c:numCache>
                <c:formatCode>General</c:formatCode>
                <c:ptCount val="12"/>
                <c:pt idx="0">
                  <c:v>580</c:v>
                </c:pt>
                <c:pt idx="1">
                  <c:v>630</c:v>
                </c:pt>
                <c:pt idx="2">
                  <c:v>680</c:v>
                </c:pt>
                <c:pt idx="3">
                  <c:v>730</c:v>
                </c:pt>
                <c:pt idx="4">
                  <c:v>780</c:v>
                </c:pt>
                <c:pt idx="5">
                  <c:v>830</c:v>
                </c:pt>
                <c:pt idx="6">
                  <c:v>880</c:v>
                </c:pt>
                <c:pt idx="7">
                  <c:v>930</c:v>
                </c:pt>
                <c:pt idx="8">
                  <c:v>980</c:v>
                </c:pt>
                <c:pt idx="9">
                  <c:v>1030</c:v>
                </c:pt>
                <c:pt idx="10">
                  <c:v>1080</c:v>
                </c:pt>
                <c:pt idx="11">
                  <c:v>1130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5B-4980-9A9F-C5E65D3EC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999551"/>
        <c:axId val="1738629664"/>
      </c:scatterChart>
      <c:valAx>
        <c:axId val="150499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 Train Capacity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629664"/>
        <c:crosses val="autoZero"/>
        <c:crossBetween val="midCat"/>
      </c:valAx>
      <c:valAx>
        <c:axId val="173862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Cost/hr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999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Diesel Commuter Rail Capacity-Running Costs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Diesel Commuter Rail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'Train Running Costs'!$Y$3:$Y$16</c:f>
              <c:numCache>
                <c:formatCode>General</c:formatCode>
                <c:ptCount val="14"/>
                <c:pt idx="0">
                  <c:v>112</c:v>
                </c:pt>
                <c:pt idx="1">
                  <c:v>224</c:v>
                </c:pt>
                <c:pt idx="2">
                  <c:v>336</c:v>
                </c:pt>
                <c:pt idx="3">
                  <c:v>448</c:v>
                </c:pt>
                <c:pt idx="4">
                  <c:v>560</c:v>
                </c:pt>
                <c:pt idx="5">
                  <c:v>672</c:v>
                </c:pt>
                <c:pt idx="6">
                  <c:v>784</c:v>
                </c:pt>
                <c:pt idx="7">
                  <c:v>896</c:v>
                </c:pt>
                <c:pt idx="8">
                  <c:v>1008</c:v>
                </c:pt>
                <c:pt idx="9">
                  <c:v>1120</c:v>
                </c:pt>
                <c:pt idx="10">
                  <c:v>1232</c:v>
                </c:pt>
                <c:pt idx="11">
                  <c:v>1344</c:v>
                </c:pt>
                <c:pt idx="12">
                  <c:v>1456</c:v>
                </c:pt>
                <c:pt idx="13">
                  <c:v>1568</c:v>
                </c:pt>
              </c:numCache>
            </c:numRef>
          </c:xVal>
          <c:yVal>
            <c:numRef>
              <c:f>'Train Running Costs'!$X$3:$X$16</c:f>
              <c:numCache>
                <c:formatCode>General</c:formatCode>
                <c:ptCount val="14"/>
                <c:pt idx="0">
                  <c:v>685</c:v>
                </c:pt>
                <c:pt idx="1">
                  <c:v>720</c:v>
                </c:pt>
                <c:pt idx="2">
                  <c:v>755</c:v>
                </c:pt>
                <c:pt idx="3">
                  <c:v>790</c:v>
                </c:pt>
                <c:pt idx="4">
                  <c:v>825</c:v>
                </c:pt>
                <c:pt idx="5">
                  <c:v>860</c:v>
                </c:pt>
                <c:pt idx="6">
                  <c:v>895</c:v>
                </c:pt>
                <c:pt idx="7">
                  <c:v>930</c:v>
                </c:pt>
                <c:pt idx="8">
                  <c:v>965</c:v>
                </c:pt>
                <c:pt idx="9">
                  <c:v>1000</c:v>
                </c:pt>
                <c:pt idx="10">
                  <c:v>1035</c:v>
                </c:pt>
                <c:pt idx="11">
                  <c:v>1070</c:v>
                </c:pt>
                <c:pt idx="12">
                  <c:v>1105</c:v>
                </c:pt>
                <c:pt idx="13">
                  <c:v>1140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07-425F-BDE1-C0C15C613FB5}"/>
            </c:ext>
          </c:extLst>
        </c:ser>
        <c:ser>
          <c:idx val="1"/>
          <c:order val="1"/>
          <c:tx>
            <c:v>Diesel Commuter Rail (UK)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'Train Running Costs'!$AA$3:$AA$10</c:f>
              <c:numCache>
                <c:formatCode>General</c:formatCode>
                <c:ptCount val="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</c:numCache>
            </c:numRef>
          </c:xVal>
          <c:yVal>
            <c:numRef>
              <c:f>'Train Running Costs'!$Z$3:$Z$10</c:f>
              <c:numCache>
                <c:formatCode>General</c:formatCode>
                <c:ptCount val="8"/>
                <c:pt idx="0">
                  <c:v>455</c:v>
                </c:pt>
                <c:pt idx="1">
                  <c:v>500</c:v>
                </c:pt>
                <c:pt idx="2">
                  <c:v>545</c:v>
                </c:pt>
                <c:pt idx="3">
                  <c:v>590</c:v>
                </c:pt>
                <c:pt idx="4">
                  <c:v>635</c:v>
                </c:pt>
                <c:pt idx="5">
                  <c:v>680</c:v>
                </c:pt>
                <c:pt idx="6">
                  <c:v>725</c:v>
                </c:pt>
                <c:pt idx="7">
                  <c:v>770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07-425F-BDE1-C0C15C613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999551"/>
        <c:axId val="1738629664"/>
      </c:scatterChart>
      <c:valAx>
        <c:axId val="150499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 Train Capacity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629664"/>
        <c:crosses val="autoZero"/>
        <c:crossBetween val="midCat"/>
      </c:valAx>
      <c:valAx>
        <c:axId val="173862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Cost/hr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999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Commuter Rail Capacity-Running Costs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Diesel Commuter Rail</c:v>
          </c:tx>
          <c:spPr>
            <a:ln>
              <a:solidFill>
                <a:schemeClr val="accent1"/>
              </a:solidFill>
            </a:ln>
          </c:spPr>
          <c:marker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'Train Running Costs'!$Y$3:$Y$16</c:f>
              <c:numCache>
                <c:formatCode>General</c:formatCode>
                <c:ptCount val="14"/>
                <c:pt idx="0">
                  <c:v>112</c:v>
                </c:pt>
                <c:pt idx="1">
                  <c:v>224</c:v>
                </c:pt>
                <c:pt idx="2">
                  <c:v>336</c:v>
                </c:pt>
                <c:pt idx="3">
                  <c:v>448</c:v>
                </c:pt>
                <c:pt idx="4">
                  <c:v>560</c:v>
                </c:pt>
                <c:pt idx="5">
                  <c:v>672</c:v>
                </c:pt>
                <c:pt idx="6">
                  <c:v>784</c:v>
                </c:pt>
                <c:pt idx="7">
                  <c:v>896</c:v>
                </c:pt>
                <c:pt idx="8">
                  <c:v>1008</c:v>
                </c:pt>
                <c:pt idx="9">
                  <c:v>1120</c:v>
                </c:pt>
                <c:pt idx="10">
                  <c:v>1232</c:v>
                </c:pt>
                <c:pt idx="11">
                  <c:v>1344</c:v>
                </c:pt>
                <c:pt idx="12">
                  <c:v>1456</c:v>
                </c:pt>
                <c:pt idx="13">
                  <c:v>1568</c:v>
                </c:pt>
              </c:numCache>
            </c:numRef>
          </c:xVal>
          <c:yVal>
            <c:numRef>
              <c:f>'Train Running Costs'!$X$3:$X$16</c:f>
              <c:numCache>
                <c:formatCode>General</c:formatCode>
                <c:ptCount val="14"/>
                <c:pt idx="0">
                  <c:v>685</c:v>
                </c:pt>
                <c:pt idx="1">
                  <c:v>720</c:v>
                </c:pt>
                <c:pt idx="2">
                  <c:v>755</c:v>
                </c:pt>
                <c:pt idx="3">
                  <c:v>790</c:v>
                </c:pt>
                <c:pt idx="4">
                  <c:v>825</c:v>
                </c:pt>
                <c:pt idx="5">
                  <c:v>860</c:v>
                </c:pt>
                <c:pt idx="6">
                  <c:v>895</c:v>
                </c:pt>
                <c:pt idx="7">
                  <c:v>930</c:v>
                </c:pt>
                <c:pt idx="8">
                  <c:v>965</c:v>
                </c:pt>
                <c:pt idx="9">
                  <c:v>1000</c:v>
                </c:pt>
                <c:pt idx="10">
                  <c:v>1035</c:v>
                </c:pt>
                <c:pt idx="11">
                  <c:v>1070</c:v>
                </c:pt>
                <c:pt idx="12">
                  <c:v>1105</c:v>
                </c:pt>
                <c:pt idx="13">
                  <c:v>1140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380-4444-8FFE-2189693FA1F8}"/>
            </c:ext>
          </c:extLst>
        </c:ser>
        <c:ser>
          <c:idx val="3"/>
          <c:order val="1"/>
          <c:tx>
            <c:v>Diesel Commuter Rail (UK)</c:v>
          </c:tx>
          <c:spPr>
            <a:ln>
              <a:solidFill>
                <a:schemeClr val="accent2"/>
              </a:solidFill>
            </a:ln>
          </c:spPr>
          <c:marker>
            <c:symbol val="triangl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'Train Running Costs'!$AA$3:$AA$10</c:f>
              <c:numCache>
                <c:formatCode>General</c:formatCode>
                <c:ptCount val="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</c:numCache>
            </c:numRef>
          </c:xVal>
          <c:yVal>
            <c:numRef>
              <c:f>'Train Running Costs'!$Z$3:$Z$10</c:f>
              <c:numCache>
                <c:formatCode>General</c:formatCode>
                <c:ptCount val="8"/>
                <c:pt idx="0">
                  <c:v>455</c:v>
                </c:pt>
                <c:pt idx="1">
                  <c:v>500</c:v>
                </c:pt>
                <c:pt idx="2">
                  <c:v>545</c:v>
                </c:pt>
                <c:pt idx="3">
                  <c:v>590</c:v>
                </c:pt>
                <c:pt idx="4">
                  <c:v>635</c:v>
                </c:pt>
                <c:pt idx="5">
                  <c:v>680</c:v>
                </c:pt>
                <c:pt idx="6">
                  <c:v>725</c:v>
                </c:pt>
                <c:pt idx="7">
                  <c:v>770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380-4444-8FFE-2189693FA1F8}"/>
            </c:ext>
          </c:extLst>
        </c:ser>
        <c:ser>
          <c:idx val="0"/>
          <c:order val="2"/>
          <c:tx>
            <c:v>Electric Commuter Rail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'Train Running Costs'!$U$3:$U$16</c:f>
              <c:numCache>
                <c:formatCode>General</c:formatCode>
                <c:ptCount val="14"/>
                <c:pt idx="0">
                  <c:v>112</c:v>
                </c:pt>
                <c:pt idx="1">
                  <c:v>224</c:v>
                </c:pt>
                <c:pt idx="2">
                  <c:v>336</c:v>
                </c:pt>
                <c:pt idx="3">
                  <c:v>448</c:v>
                </c:pt>
                <c:pt idx="4">
                  <c:v>560</c:v>
                </c:pt>
                <c:pt idx="5">
                  <c:v>672</c:v>
                </c:pt>
                <c:pt idx="6">
                  <c:v>784</c:v>
                </c:pt>
                <c:pt idx="7">
                  <c:v>896</c:v>
                </c:pt>
                <c:pt idx="8">
                  <c:v>1008</c:v>
                </c:pt>
                <c:pt idx="9">
                  <c:v>1120</c:v>
                </c:pt>
                <c:pt idx="10">
                  <c:v>1232</c:v>
                </c:pt>
                <c:pt idx="11">
                  <c:v>1344</c:v>
                </c:pt>
                <c:pt idx="12">
                  <c:v>1456</c:v>
                </c:pt>
                <c:pt idx="13">
                  <c:v>1568</c:v>
                </c:pt>
              </c:numCache>
            </c:numRef>
          </c:xVal>
          <c:yVal>
            <c:numRef>
              <c:f>'Train Running Costs'!$T$3:$T$16</c:f>
              <c:numCache>
                <c:formatCode>General</c:formatCode>
                <c:ptCount val="14"/>
                <c:pt idx="0">
                  <c:v>535</c:v>
                </c:pt>
                <c:pt idx="1">
                  <c:v>570</c:v>
                </c:pt>
                <c:pt idx="2">
                  <c:v>605</c:v>
                </c:pt>
                <c:pt idx="3">
                  <c:v>640</c:v>
                </c:pt>
                <c:pt idx="4">
                  <c:v>675</c:v>
                </c:pt>
                <c:pt idx="5">
                  <c:v>710</c:v>
                </c:pt>
                <c:pt idx="6">
                  <c:v>745</c:v>
                </c:pt>
                <c:pt idx="7">
                  <c:v>780</c:v>
                </c:pt>
                <c:pt idx="8">
                  <c:v>815</c:v>
                </c:pt>
                <c:pt idx="9">
                  <c:v>850</c:v>
                </c:pt>
                <c:pt idx="10">
                  <c:v>885</c:v>
                </c:pt>
                <c:pt idx="11">
                  <c:v>920</c:v>
                </c:pt>
                <c:pt idx="12">
                  <c:v>955</c:v>
                </c:pt>
                <c:pt idx="13">
                  <c:v>990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80-4444-8FFE-2189693FA1F8}"/>
            </c:ext>
          </c:extLst>
        </c:ser>
        <c:ser>
          <c:idx val="1"/>
          <c:order val="3"/>
          <c:tx>
            <c:v>Electric Commuter Rail (UK)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'Train Running Costs'!$W$3:$W$14</c:f>
              <c:numCache>
                <c:formatCode>General</c:formatCode>
                <c:ptCount val="12"/>
                <c:pt idx="0">
                  <c:v>166</c:v>
                </c:pt>
                <c:pt idx="1">
                  <c:v>332</c:v>
                </c:pt>
                <c:pt idx="2">
                  <c:v>498</c:v>
                </c:pt>
                <c:pt idx="3">
                  <c:v>664</c:v>
                </c:pt>
                <c:pt idx="4">
                  <c:v>830</c:v>
                </c:pt>
                <c:pt idx="5">
                  <c:v>996</c:v>
                </c:pt>
                <c:pt idx="6">
                  <c:v>1162</c:v>
                </c:pt>
                <c:pt idx="7">
                  <c:v>1328</c:v>
                </c:pt>
                <c:pt idx="8">
                  <c:v>1494</c:v>
                </c:pt>
                <c:pt idx="9">
                  <c:v>1660</c:v>
                </c:pt>
                <c:pt idx="10">
                  <c:v>1826</c:v>
                </c:pt>
                <c:pt idx="11">
                  <c:v>1992</c:v>
                </c:pt>
              </c:numCache>
            </c:numRef>
          </c:xVal>
          <c:yVal>
            <c:numRef>
              <c:f>'Train Running Costs'!$V$3:$V$14</c:f>
              <c:numCache>
                <c:formatCode>General</c:formatCode>
                <c:ptCount val="12"/>
                <c:pt idx="0">
                  <c:v>580</c:v>
                </c:pt>
                <c:pt idx="1">
                  <c:v>630</c:v>
                </c:pt>
                <c:pt idx="2">
                  <c:v>680</c:v>
                </c:pt>
                <c:pt idx="3">
                  <c:v>730</c:v>
                </c:pt>
                <c:pt idx="4">
                  <c:v>780</c:v>
                </c:pt>
                <c:pt idx="5">
                  <c:v>830</c:v>
                </c:pt>
                <c:pt idx="6">
                  <c:v>880</c:v>
                </c:pt>
                <c:pt idx="7">
                  <c:v>930</c:v>
                </c:pt>
                <c:pt idx="8">
                  <c:v>980</c:v>
                </c:pt>
                <c:pt idx="9">
                  <c:v>1030</c:v>
                </c:pt>
                <c:pt idx="10">
                  <c:v>1080</c:v>
                </c:pt>
                <c:pt idx="11">
                  <c:v>1130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380-4444-8FFE-2189693FA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4999551"/>
        <c:axId val="1738629664"/>
      </c:scatterChart>
      <c:valAx>
        <c:axId val="1504999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 Train Capacity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629664"/>
        <c:crosses val="autoZero"/>
        <c:crossBetween val="midCat"/>
      </c:valAx>
      <c:valAx>
        <c:axId val="173862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Cost/hr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999551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71436</xdr:colOff>
      <xdr:row>18</xdr:row>
      <xdr:rowOff>14285</xdr:rowOff>
    </xdr:from>
    <xdr:to>
      <xdr:col>7</xdr:col>
      <xdr:colOff>4761</xdr:colOff>
      <xdr:row>35</xdr:row>
      <xdr:rowOff>100010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34559BD-4F27-767D-14FA-D11C067591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66675</xdr:colOff>
      <xdr:row>18</xdr:row>
      <xdr:rowOff>19049</xdr:rowOff>
    </xdr:from>
    <xdr:to>
      <xdr:col>16</xdr:col>
      <xdr:colOff>257175</xdr:colOff>
      <xdr:row>35</xdr:row>
      <xdr:rowOff>104774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582D6B4-1FA1-4D03-B34B-B51ADD50BA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342900</xdr:colOff>
      <xdr:row>18</xdr:row>
      <xdr:rowOff>19049</xdr:rowOff>
    </xdr:from>
    <xdr:to>
      <xdr:col>25</xdr:col>
      <xdr:colOff>361950</xdr:colOff>
      <xdr:row>35</xdr:row>
      <xdr:rowOff>104774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3336C85-C6A5-4BA2-A481-6364D0426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28575</xdr:colOff>
      <xdr:row>35</xdr:row>
      <xdr:rowOff>190499</xdr:rowOff>
    </xdr:from>
    <xdr:to>
      <xdr:col>6</xdr:col>
      <xdr:colOff>571498</xdr:colOff>
      <xdr:row>53</xdr:row>
      <xdr:rowOff>85724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AAC664D-206D-4218-AA4F-DDB5B620A7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57149</xdr:colOff>
      <xdr:row>36</xdr:row>
      <xdr:rowOff>9524</xdr:rowOff>
    </xdr:from>
    <xdr:to>
      <xdr:col>16</xdr:col>
      <xdr:colOff>247649</xdr:colOff>
      <xdr:row>53</xdr:row>
      <xdr:rowOff>95249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B4DC891-963C-4436-9738-DBF83C1E3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333375</xdr:colOff>
      <xdr:row>35</xdr:row>
      <xdr:rowOff>180975</xdr:rowOff>
    </xdr:from>
    <xdr:to>
      <xdr:col>25</xdr:col>
      <xdr:colOff>352425</xdr:colOff>
      <xdr:row>53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2F09C6E-3DE1-46C5-9615-84F24C178D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8"/>
  <sheetViews>
    <sheetView tabSelected="1" zoomScaleNormal="100" workbookViewId="0">
      <selection activeCell="AF18" sqref="AF18"/>
    </sheetView>
  </sheetViews>
  <sheetFormatPr defaultRowHeight="15" x14ac:dyDescent="0.25"/>
  <cols>
    <col min="1" max="1" width="26.5703125" customWidth="1"/>
    <col min="2" max="2" width="11" customWidth="1"/>
    <col min="5" max="5" width="12" customWidth="1"/>
    <col min="23" max="23" width="11.7109375" customWidth="1"/>
    <col min="27" max="27" width="12.140625" customWidth="1"/>
  </cols>
  <sheetData>
    <row r="1" spans="1:27" x14ac:dyDescent="0.25">
      <c r="B1" s="2" t="s">
        <v>7</v>
      </c>
      <c r="C1" s="2" t="s">
        <v>8</v>
      </c>
      <c r="D1" s="2" t="s">
        <v>0</v>
      </c>
      <c r="E1" s="2" t="s">
        <v>9</v>
      </c>
      <c r="H1" s="3" t="s">
        <v>1</v>
      </c>
      <c r="I1" s="3"/>
      <c r="J1" s="3" t="s">
        <v>2</v>
      </c>
      <c r="K1" s="3"/>
      <c r="L1" s="3" t="s">
        <v>5</v>
      </c>
      <c r="M1" s="3"/>
      <c r="N1" s="3" t="s">
        <v>6</v>
      </c>
      <c r="O1" s="3"/>
      <c r="P1" s="3" t="s">
        <v>10</v>
      </c>
      <c r="Q1" s="3"/>
      <c r="R1" s="3" t="s">
        <v>11</v>
      </c>
      <c r="S1" s="3"/>
      <c r="T1" s="3" t="s">
        <v>16</v>
      </c>
      <c r="U1" s="3"/>
      <c r="V1" s="3" t="s">
        <v>17</v>
      </c>
      <c r="W1" s="3"/>
      <c r="X1" s="3" t="s">
        <v>18</v>
      </c>
      <c r="Y1" s="3"/>
      <c r="Z1" s="3" t="s">
        <v>19</v>
      </c>
      <c r="AA1" s="3"/>
    </row>
    <row r="2" spans="1:27" x14ac:dyDescent="0.25">
      <c r="A2" s="1" t="s">
        <v>1</v>
      </c>
      <c r="B2" s="1">
        <v>250</v>
      </c>
      <c r="C2" s="1">
        <v>25</v>
      </c>
      <c r="D2" s="1">
        <v>240</v>
      </c>
      <c r="E2" s="1">
        <v>15</v>
      </c>
      <c r="G2" t="s">
        <v>3</v>
      </c>
      <c r="H2" t="s">
        <v>4</v>
      </c>
      <c r="I2" t="s">
        <v>0</v>
      </c>
      <c r="J2" t="s">
        <v>4</v>
      </c>
      <c r="K2" t="s">
        <v>0</v>
      </c>
      <c r="L2" t="s">
        <v>4</v>
      </c>
      <c r="M2" t="s">
        <v>0</v>
      </c>
      <c r="N2" t="s">
        <v>4</v>
      </c>
      <c r="O2" t="s">
        <v>0</v>
      </c>
      <c r="P2" t="s">
        <v>4</v>
      </c>
      <c r="Q2" t="s">
        <v>0</v>
      </c>
      <c r="R2" t="s">
        <v>4</v>
      </c>
      <c r="S2" t="s">
        <v>0</v>
      </c>
      <c r="T2" t="s">
        <v>4</v>
      </c>
      <c r="U2" t="s">
        <v>0</v>
      </c>
      <c r="V2" t="s">
        <v>4</v>
      </c>
      <c r="W2" t="s">
        <v>0</v>
      </c>
      <c r="X2" t="s">
        <v>4</v>
      </c>
      <c r="Y2" t="s">
        <v>0</v>
      </c>
      <c r="Z2" t="s">
        <v>4</v>
      </c>
      <c r="AA2" t="s">
        <v>0</v>
      </c>
    </row>
    <row r="3" spans="1:27" x14ac:dyDescent="0.25">
      <c r="A3" t="s">
        <v>2</v>
      </c>
      <c r="B3">
        <v>220</v>
      </c>
      <c r="C3">
        <v>14</v>
      </c>
      <c r="D3">
        <v>141</v>
      </c>
      <c r="E3">
        <v>12</v>
      </c>
      <c r="G3">
        <v>1</v>
      </c>
      <c r="H3">
        <f>$B$2+G3*$C$2</f>
        <v>275</v>
      </c>
      <c r="I3">
        <f>G3*$D$2</f>
        <v>240</v>
      </c>
      <c r="J3">
        <f>$B$3+G3*$C$3</f>
        <v>234</v>
      </c>
      <c r="K3">
        <f>G3*$D$3</f>
        <v>141</v>
      </c>
      <c r="L3">
        <f>$B$4+G3*$C$4</f>
        <v>200</v>
      </c>
      <c r="M3">
        <f>G3*$D$4</f>
        <v>200</v>
      </c>
      <c r="N3">
        <f>$B$5+G3*$C$5</f>
        <v>154</v>
      </c>
      <c r="O3">
        <f>G3*$D$5</f>
        <v>135</v>
      </c>
      <c r="P3">
        <f>$B$6+G3*$C$6</f>
        <v>240</v>
      </c>
      <c r="Q3">
        <f>G3*$D$6</f>
        <v>77</v>
      </c>
      <c r="R3">
        <f>$B$7+G3*$C$7</f>
        <v>235</v>
      </c>
      <c r="S3">
        <f>G3*$D$7</f>
        <v>103</v>
      </c>
      <c r="T3">
        <f>$B$8+G3*$C$8</f>
        <v>535</v>
      </c>
      <c r="U3">
        <f>G3*$D$8</f>
        <v>112</v>
      </c>
      <c r="V3">
        <f>$B$9+G3*$C$9</f>
        <v>580</v>
      </c>
      <c r="W3">
        <f>G3*$D$9</f>
        <v>166</v>
      </c>
      <c r="X3">
        <f>$B$10+G3*$C$10</f>
        <v>685</v>
      </c>
      <c r="Y3">
        <f>G3*$D$10</f>
        <v>112</v>
      </c>
      <c r="Z3">
        <f>$B$11+G3*$C$11</f>
        <v>455</v>
      </c>
      <c r="AA3">
        <f>G3*$D$11</f>
        <v>100</v>
      </c>
    </row>
    <row r="4" spans="1:27" x14ac:dyDescent="0.25">
      <c r="A4" s="1" t="s">
        <v>5</v>
      </c>
      <c r="B4" s="1">
        <v>180</v>
      </c>
      <c r="C4" s="1">
        <v>20</v>
      </c>
      <c r="D4" s="1">
        <v>200</v>
      </c>
      <c r="E4" s="1">
        <v>4</v>
      </c>
      <c r="G4">
        <v>2</v>
      </c>
      <c r="H4">
        <f t="shared" ref="H4:H17" si="0">$B$2+G4*$C$2</f>
        <v>300</v>
      </c>
      <c r="I4">
        <f t="shared" ref="I4:I17" si="1">G4*$D$2</f>
        <v>480</v>
      </c>
      <c r="J4">
        <f t="shared" ref="J4:J14" si="2">$B$3+G4*$C$3</f>
        <v>248</v>
      </c>
      <c r="K4">
        <f t="shared" ref="K4:K14" si="3">G4*$D$3</f>
        <v>282</v>
      </c>
      <c r="L4">
        <f t="shared" ref="L4:L6" si="4">$B$4+G4*$C$4</f>
        <v>220</v>
      </c>
      <c r="M4">
        <f t="shared" ref="M4:M6" si="5">G4*$D$4</f>
        <v>400</v>
      </c>
      <c r="N4">
        <f t="shared" ref="N4:N10" si="6">$B$5+G4*$C$5</f>
        <v>168</v>
      </c>
      <c r="O4">
        <f t="shared" ref="O4:O10" si="7">G4*$D$5</f>
        <v>270</v>
      </c>
      <c r="P4">
        <f t="shared" ref="P4:P14" si="8">$B$6+G4*$C$6</f>
        <v>260</v>
      </c>
      <c r="Q4">
        <f t="shared" ref="Q4:Q14" si="9">G4*$D$6</f>
        <v>154</v>
      </c>
      <c r="R4">
        <f t="shared" ref="R4:R12" si="10">$B$7+G4*$C$7</f>
        <v>260</v>
      </c>
      <c r="S4">
        <f t="shared" ref="S4:S12" si="11">G4*$D$7</f>
        <v>206</v>
      </c>
      <c r="T4">
        <f t="shared" ref="T4:T16" si="12">$B$8+G4*$C$8</f>
        <v>570</v>
      </c>
      <c r="U4">
        <f t="shared" ref="U4:U16" si="13">G4*$D$8</f>
        <v>224</v>
      </c>
      <c r="V4">
        <f t="shared" ref="V4:V14" si="14">$B$9+G4*$C$9</f>
        <v>630</v>
      </c>
      <c r="W4">
        <f t="shared" ref="W4:W14" si="15">G4*$D$9</f>
        <v>332</v>
      </c>
      <c r="X4">
        <f t="shared" ref="X4:X16" si="16">$B$10+G4*$C$10</f>
        <v>720</v>
      </c>
      <c r="Y4">
        <f t="shared" ref="Y4:Y16" si="17">G4*$D$10</f>
        <v>224</v>
      </c>
      <c r="Z4">
        <f t="shared" ref="Z4:Z10" si="18">$B$11+G4*$C$11</f>
        <v>500</v>
      </c>
      <c r="AA4">
        <f t="shared" ref="AA4:AA10" si="19">G4*$D$11</f>
        <v>200</v>
      </c>
    </row>
    <row r="5" spans="1:27" x14ac:dyDescent="0.25">
      <c r="A5" t="s">
        <v>6</v>
      </c>
      <c r="B5">
        <v>140</v>
      </c>
      <c r="C5">
        <v>14</v>
      </c>
      <c r="D5">
        <v>135</v>
      </c>
      <c r="E5">
        <v>8</v>
      </c>
      <c r="G5">
        <v>3</v>
      </c>
      <c r="H5">
        <f t="shared" si="0"/>
        <v>325</v>
      </c>
      <c r="I5">
        <f t="shared" si="1"/>
        <v>720</v>
      </c>
      <c r="J5">
        <f t="shared" si="2"/>
        <v>262</v>
      </c>
      <c r="K5">
        <f t="shared" si="3"/>
        <v>423</v>
      </c>
      <c r="L5">
        <f t="shared" si="4"/>
        <v>240</v>
      </c>
      <c r="M5">
        <f t="shared" si="5"/>
        <v>600</v>
      </c>
      <c r="N5">
        <f t="shared" si="6"/>
        <v>182</v>
      </c>
      <c r="O5">
        <f t="shared" si="7"/>
        <v>405</v>
      </c>
      <c r="P5">
        <f t="shared" si="8"/>
        <v>280</v>
      </c>
      <c r="Q5">
        <f t="shared" si="9"/>
        <v>231</v>
      </c>
      <c r="R5">
        <f t="shared" si="10"/>
        <v>285</v>
      </c>
      <c r="S5">
        <f t="shared" si="11"/>
        <v>309</v>
      </c>
      <c r="T5">
        <f t="shared" si="12"/>
        <v>605</v>
      </c>
      <c r="U5">
        <f t="shared" si="13"/>
        <v>336</v>
      </c>
      <c r="V5">
        <f t="shared" si="14"/>
        <v>680</v>
      </c>
      <c r="W5">
        <f t="shared" si="15"/>
        <v>498</v>
      </c>
      <c r="X5">
        <f t="shared" si="16"/>
        <v>755</v>
      </c>
      <c r="Y5">
        <f t="shared" si="17"/>
        <v>336</v>
      </c>
      <c r="Z5">
        <f t="shared" si="18"/>
        <v>545</v>
      </c>
      <c r="AA5">
        <f t="shared" si="19"/>
        <v>300</v>
      </c>
    </row>
    <row r="6" spans="1:27" x14ac:dyDescent="0.25">
      <c r="A6" s="1" t="s">
        <v>10</v>
      </c>
      <c r="B6" s="1">
        <v>220</v>
      </c>
      <c r="C6" s="1">
        <v>20</v>
      </c>
      <c r="D6" s="1">
        <v>77</v>
      </c>
      <c r="E6" s="1">
        <v>12</v>
      </c>
      <c r="G6">
        <v>4</v>
      </c>
      <c r="H6">
        <f t="shared" si="0"/>
        <v>350</v>
      </c>
      <c r="I6">
        <f t="shared" si="1"/>
        <v>960</v>
      </c>
      <c r="J6">
        <f t="shared" si="2"/>
        <v>276</v>
      </c>
      <c r="K6">
        <f t="shared" si="3"/>
        <v>564</v>
      </c>
      <c r="L6">
        <f t="shared" si="4"/>
        <v>260</v>
      </c>
      <c r="M6">
        <f t="shared" si="5"/>
        <v>800</v>
      </c>
      <c r="N6">
        <f t="shared" si="6"/>
        <v>196</v>
      </c>
      <c r="O6">
        <f t="shared" si="7"/>
        <v>540</v>
      </c>
      <c r="P6">
        <f t="shared" si="8"/>
        <v>300</v>
      </c>
      <c r="Q6">
        <f t="shared" si="9"/>
        <v>308</v>
      </c>
      <c r="R6">
        <f t="shared" si="10"/>
        <v>310</v>
      </c>
      <c r="S6">
        <f t="shared" si="11"/>
        <v>412</v>
      </c>
      <c r="T6">
        <f t="shared" si="12"/>
        <v>640</v>
      </c>
      <c r="U6">
        <f t="shared" si="13"/>
        <v>448</v>
      </c>
      <c r="V6">
        <f t="shared" si="14"/>
        <v>730</v>
      </c>
      <c r="W6">
        <f t="shared" si="15"/>
        <v>664</v>
      </c>
      <c r="X6">
        <f t="shared" si="16"/>
        <v>790</v>
      </c>
      <c r="Y6">
        <f t="shared" si="17"/>
        <v>448</v>
      </c>
      <c r="Z6">
        <f t="shared" si="18"/>
        <v>590</v>
      </c>
      <c r="AA6">
        <f t="shared" si="19"/>
        <v>400</v>
      </c>
    </row>
    <row r="7" spans="1:27" x14ac:dyDescent="0.25">
      <c r="A7" t="s">
        <v>11</v>
      </c>
      <c r="B7">
        <v>210</v>
      </c>
      <c r="C7">
        <v>25</v>
      </c>
      <c r="D7">
        <v>103</v>
      </c>
      <c r="E7">
        <v>10</v>
      </c>
      <c r="G7">
        <v>5</v>
      </c>
      <c r="H7">
        <f t="shared" si="0"/>
        <v>375</v>
      </c>
      <c r="I7">
        <f t="shared" si="1"/>
        <v>1200</v>
      </c>
      <c r="J7">
        <f t="shared" si="2"/>
        <v>290</v>
      </c>
      <c r="K7">
        <f t="shared" si="3"/>
        <v>705</v>
      </c>
      <c r="N7">
        <f t="shared" si="6"/>
        <v>210</v>
      </c>
      <c r="O7">
        <f t="shared" si="7"/>
        <v>675</v>
      </c>
      <c r="P7">
        <f t="shared" si="8"/>
        <v>320</v>
      </c>
      <c r="Q7">
        <f t="shared" si="9"/>
        <v>385</v>
      </c>
      <c r="R7">
        <f t="shared" si="10"/>
        <v>335</v>
      </c>
      <c r="S7">
        <f t="shared" si="11"/>
        <v>515</v>
      </c>
      <c r="T7">
        <f t="shared" si="12"/>
        <v>675</v>
      </c>
      <c r="U7">
        <f t="shared" si="13"/>
        <v>560</v>
      </c>
      <c r="V7">
        <f t="shared" si="14"/>
        <v>780</v>
      </c>
      <c r="W7">
        <f t="shared" si="15"/>
        <v>830</v>
      </c>
      <c r="X7">
        <f t="shared" si="16"/>
        <v>825</v>
      </c>
      <c r="Y7">
        <f t="shared" si="17"/>
        <v>560</v>
      </c>
      <c r="Z7">
        <f t="shared" si="18"/>
        <v>635</v>
      </c>
      <c r="AA7">
        <f t="shared" si="19"/>
        <v>500</v>
      </c>
    </row>
    <row r="8" spans="1:27" x14ac:dyDescent="0.25">
      <c r="A8" s="1" t="s">
        <v>12</v>
      </c>
      <c r="B8" s="1">
        <v>500</v>
      </c>
      <c r="C8" s="1">
        <v>35</v>
      </c>
      <c r="D8" s="1">
        <v>112</v>
      </c>
      <c r="E8" s="1">
        <v>14</v>
      </c>
      <c r="G8">
        <v>6</v>
      </c>
      <c r="H8">
        <f t="shared" si="0"/>
        <v>400</v>
      </c>
      <c r="I8">
        <f t="shared" si="1"/>
        <v>1440</v>
      </c>
      <c r="J8">
        <f t="shared" si="2"/>
        <v>304</v>
      </c>
      <c r="K8">
        <f t="shared" si="3"/>
        <v>846</v>
      </c>
      <c r="N8">
        <f t="shared" si="6"/>
        <v>224</v>
      </c>
      <c r="O8">
        <f t="shared" si="7"/>
        <v>810</v>
      </c>
      <c r="P8">
        <f t="shared" si="8"/>
        <v>340</v>
      </c>
      <c r="Q8">
        <f t="shared" si="9"/>
        <v>462</v>
      </c>
      <c r="R8">
        <f t="shared" si="10"/>
        <v>360</v>
      </c>
      <c r="S8">
        <f t="shared" si="11"/>
        <v>618</v>
      </c>
      <c r="T8">
        <f t="shared" si="12"/>
        <v>710</v>
      </c>
      <c r="U8">
        <f t="shared" si="13"/>
        <v>672</v>
      </c>
      <c r="V8">
        <f t="shared" si="14"/>
        <v>830</v>
      </c>
      <c r="W8">
        <f t="shared" si="15"/>
        <v>996</v>
      </c>
      <c r="X8">
        <f t="shared" si="16"/>
        <v>860</v>
      </c>
      <c r="Y8">
        <f t="shared" si="17"/>
        <v>672</v>
      </c>
      <c r="Z8">
        <f t="shared" si="18"/>
        <v>680</v>
      </c>
      <c r="AA8">
        <f t="shared" si="19"/>
        <v>600</v>
      </c>
    </row>
    <row r="9" spans="1:27" x14ac:dyDescent="0.25">
      <c r="A9" t="s">
        <v>13</v>
      </c>
      <c r="B9">
        <v>530</v>
      </c>
      <c r="C9">
        <v>50</v>
      </c>
      <c r="D9">
        <v>166</v>
      </c>
      <c r="E9">
        <v>12</v>
      </c>
      <c r="G9">
        <v>7</v>
      </c>
      <c r="H9">
        <f t="shared" si="0"/>
        <v>425</v>
      </c>
      <c r="I9">
        <f t="shared" si="1"/>
        <v>1680</v>
      </c>
      <c r="J9">
        <f t="shared" si="2"/>
        <v>318</v>
      </c>
      <c r="K9">
        <f t="shared" si="3"/>
        <v>987</v>
      </c>
      <c r="N9">
        <f t="shared" si="6"/>
        <v>238</v>
      </c>
      <c r="O9">
        <f t="shared" si="7"/>
        <v>945</v>
      </c>
      <c r="P9">
        <f t="shared" si="8"/>
        <v>360</v>
      </c>
      <c r="Q9">
        <f t="shared" si="9"/>
        <v>539</v>
      </c>
      <c r="R9">
        <f t="shared" si="10"/>
        <v>385</v>
      </c>
      <c r="S9">
        <f t="shared" si="11"/>
        <v>721</v>
      </c>
      <c r="T9">
        <f t="shared" si="12"/>
        <v>745</v>
      </c>
      <c r="U9">
        <f t="shared" si="13"/>
        <v>784</v>
      </c>
      <c r="V9">
        <f t="shared" si="14"/>
        <v>880</v>
      </c>
      <c r="W9">
        <f t="shared" si="15"/>
        <v>1162</v>
      </c>
      <c r="X9">
        <f t="shared" si="16"/>
        <v>895</v>
      </c>
      <c r="Y9">
        <f t="shared" si="17"/>
        <v>784</v>
      </c>
      <c r="Z9">
        <f t="shared" si="18"/>
        <v>725</v>
      </c>
      <c r="AA9">
        <f t="shared" si="19"/>
        <v>700</v>
      </c>
    </row>
    <row r="10" spans="1:27" x14ac:dyDescent="0.25">
      <c r="A10" s="1" t="s">
        <v>14</v>
      </c>
      <c r="B10" s="1">
        <v>650</v>
      </c>
      <c r="C10" s="1">
        <v>35</v>
      </c>
      <c r="D10" s="1">
        <v>112</v>
      </c>
      <c r="E10" s="1">
        <v>14</v>
      </c>
      <c r="G10">
        <v>8</v>
      </c>
      <c r="H10">
        <f t="shared" si="0"/>
        <v>450</v>
      </c>
      <c r="I10">
        <f t="shared" si="1"/>
        <v>1920</v>
      </c>
      <c r="J10">
        <f t="shared" si="2"/>
        <v>332</v>
      </c>
      <c r="K10">
        <f t="shared" si="3"/>
        <v>1128</v>
      </c>
      <c r="N10">
        <f t="shared" si="6"/>
        <v>252</v>
      </c>
      <c r="O10">
        <f t="shared" si="7"/>
        <v>1080</v>
      </c>
      <c r="P10">
        <f t="shared" si="8"/>
        <v>380</v>
      </c>
      <c r="Q10">
        <f t="shared" si="9"/>
        <v>616</v>
      </c>
      <c r="R10">
        <f t="shared" si="10"/>
        <v>410</v>
      </c>
      <c r="S10">
        <f t="shared" si="11"/>
        <v>824</v>
      </c>
      <c r="T10">
        <f t="shared" si="12"/>
        <v>780</v>
      </c>
      <c r="U10">
        <f t="shared" si="13"/>
        <v>896</v>
      </c>
      <c r="V10">
        <f t="shared" si="14"/>
        <v>930</v>
      </c>
      <c r="W10">
        <f t="shared" si="15"/>
        <v>1328</v>
      </c>
      <c r="X10">
        <f t="shared" si="16"/>
        <v>930</v>
      </c>
      <c r="Y10">
        <f t="shared" si="17"/>
        <v>896</v>
      </c>
      <c r="Z10">
        <f t="shared" si="18"/>
        <v>770</v>
      </c>
      <c r="AA10">
        <f t="shared" si="19"/>
        <v>800</v>
      </c>
    </row>
    <row r="11" spans="1:27" x14ac:dyDescent="0.25">
      <c r="A11" t="s">
        <v>15</v>
      </c>
      <c r="B11">
        <v>410</v>
      </c>
      <c r="C11">
        <v>45</v>
      </c>
      <c r="D11">
        <v>100</v>
      </c>
      <c r="E11">
        <v>8</v>
      </c>
      <c r="G11">
        <v>9</v>
      </c>
      <c r="H11">
        <f t="shared" si="0"/>
        <v>475</v>
      </c>
      <c r="I11">
        <f t="shared" si="1"/>
        <v>2160</v>
      </c>
      <c r="J11">
        <f t="shared" si="2"/>
        <v>346</v>
      </c>
      <c r="K11">
        <f t="shared" si="3"/>
        <v>1269</v>
      </c>
      <c r="P11">
        <f t="shared" si="8"/>
        <v>400</v>
      </c>
      <c r="Q11">
        <f t="shared" si="9"/>
        <v>693</v>
      </c>
      <c r="R11">
        <f t="shared" si="10"/>
        <v>435</v>
      </c>
      <c r="S11">
        <f t="shared" si="11"/>
        <v>927</v>
      </c>
      <c r="T11">
        <f t="shared" si="12"/>
        <v>815</v>
      </c>
      <c r="U11">
        <f t="shared" si="13"/>
        <v>1008</v>
      </c>
      <c r="V11">
        <f t="shared" si="14"/>
        <v>980</v>
      </c>
      <c r="W11">
        <f t="shared" si="15"/>
        <v>1494</v>
      </c>
      <c r="X11">
        <f t="shared" si="16"/>
        <v>965</v>
      </c>
      <c r="Y11">
        <f t="shared" si="17"/>
        <v>1008</v>
      </c>
    </row>
    <row r="12" spans="1:27" x14ac:dyDescent="0.25">
      <c r="G12">
        <v>10</v>
      </c>
      <c r="H12">
        <f t="shared" si="0"/>
        <v>500</v>
      </c>
      <c r="I12">
        <f t="shared" si="1"/>
        <v>2400</v>
      </c>
      <c r="J12">
        <f t="shared" si="2"/>
        <v>360</v>
      </c>
      <c r="K12">
        <f t="shared" si="3"/>
        <v>1410</v>
      </c>
      <c r="P12">
        <f t="shared" si="8"/>
        <v>420</v>
      </c>
      <c r="Q12">
        <f t="shared" si="9"/>
        <v>770</v>
      </c>
      <c r="R12">
        <f t="shared" si="10"/>
        <v>460</v>
      </c>
      <c r="S12">
        <f t="shared" si="11"/>
        <v>1030</v>
      </c>
      <c r="T12">
        <f t="shared" si="12"/>
        <v>850</v>
      </c>
      <c r="U12">
        <f t="shared" si="13"/>
        <v>1120</v>
      </c>
      <c r="V12">
        <f t="shared" si="14"/>
        <v>1030</v>
      </c>
      <c r="W12">
        <f t="shared" si="15"/>
        <v>1660</v>
      </c>
      <c r="X12">
        <f t="shared" si="16"/>
        <v>1000</v>
      </c>
      <c r="Y12">
        <f t="shared" si="17"/>
        <v>1120</v>
      </c>
    </row>
    <row r="13" spans="1:27" x14ac:dyDescent="0.25">
      <c r="G13">
        <v>11</v>
      </c>
      <c r="H13">
        <f t="shared" si="0"/>
        <v>525</v>
      </c>
      <c r="I13">
        <f t="shared" si="1"/>
        <v>2640</v>
      </c>
      <c r="J13">
        <f t="shared" si="2"/>
        <v>374</v>
      </c>
      <c r="K13">
        <f t="shared" si="3"/>
        <v>1551</v>
      </c>
      <c r="P13">
        <f t="shared" si="8"/>
        <v>440</v>
      </c>
      <c r="Q13">
        <f t="shared" si="9"/>
        <v>847</v>
      </c>
      <c r="T13">
        <f t="shared" si="12"/>
        <v>885</v>
      </c>
      <c r="U13">
        <f t="shared" si="13"/>
        <v>1232</v>
      </c>
      <c r="V13">
        <f t="shared" si="14"/>
        <v>1080</v>
      </c>
      <c r="W13">
        <f t="shared" si="15"/>
        <v>1826</v>
      </c>
      <c r="X13">
        <f t="shared" si="16"/>
        <v>1035</v>
      </c>
      <c r="Y13">
        <f t="shared" si="17"/>
        <v>1232</v>
      </c>
    </row>
    <row r="14" spans="1:27" x14ac:dyDescent="0.25">
      <c r="G14">
        <v>12</v>
      </c>
      <c r="H14">
        <f t="shared" si="0"/>
        <v>550</v>
      </c>
      <c r="I14">
        <f t="shared" si="1"/>
        <v>2880</v>
      </c>
      <c r="J14">
        <f t="shared" si="2"/>
        <v>388</v>
      </c>
      <c r="K14">
        <f t="shared" si="3"/>
        <v>1692</v>
      </c>
      <c r="P14">
        <f t="shared" si="8"/>
        <v>460</v>
      </c>
      <c r="Q14">
        <f t="shared" si="9"/>
        <v>924</v>
      </c>
      <c r="T14">
        <f t="shared" si="12"/>
        <v>920</v>
      </c>
      <c r="U14">
        <f t="shared" si="13"/>
        <v>1344</v>
      </c>
      <c r="V14">
        <f t="shared" si="14"/>
        <v>1130</v>
      </c>
      <c r="W14">
        <f t="shared" si="15"/>
        <v>1992</v>
      </c>
      <c r="X14">
        <f t="shared" si="16"/>
        <v>1070</v>
      </c>
      <c r="Y14">
        <f t="shared" si="17"/>
        <v>1344</v>
      </c>
    </row>
    <row r="15" spans="1:27" x14ac:dyDescent="0.25">
      <c r="G15">
        <v>13</v>
      </c>
      <c r="H15">
        <f t="shared" si="0"/>
        <v>575</v>
      </c>
      <c r="I15">
        <f t="shared" si="1"/>
        <v>3120</v>
      </c>
      <c r="J15">
        <f t="shared" ref="J15:J18" si="20">$B$3+G15*$C$3</f>
        <v>402</v>
      </c>
      <c r="K15">
        <f t="shared" ref="K15:K18" si="21">G15*$D$3</f>
        <v>1833</v>
      </c>
      <c r="T15">
        <f t="shared" si="12"/>
        <v>955</v>
      </c>
      <c r="U15">
        <f t="shared" si="13"/>
        <v>1456</v>
      </c>
      <c r="X15">
        <f t="shared" si="16"/>
        <v>1105</v>
      </c>
      <c r="Y15">
        <f t="shared" si="17"/>
        <v>1456</v>
      </c>
    </row>
    <row r="16" spans="1:27" x14ac:dyDescent="0.25">
      <c r="G16">
        <v>14</v>
      </c>
      <c r="H16">
        <f t="shared" si="0"/>
        <v>600</v>
      </c>
      <c r="I16">
        <f t="shared" si="1"/>
        <v>3360</v>
      </c>
      <c r="J16">
        <f t="shared" si="20"/>
        <v>416</v>
      </c>
      <c r="K16">
        <f t="shared" si="21"/>
        <v>1974</v>
      </c>
      <c r="T16">
        <f t="shared" si="12"/>
        <v>990</v>
      </c>
      <c r="U16">
        <f t="shared" si="13"/>
        <v>1568</v>
      </c>
      <c r="X16">
        <f t="shared" si="16"/>
        <v>1140</v>
      </c>
      <c r="Y16">
        <f t="shared" si="17"/>
        <v>1568</v>
      </c>
    </row>
    <row r="17" spans="7:11" x14ac:dyDescent="0.25">
      <c r="G17">
        <v>15</v>
      </c>
      <c r="H17">
        <f t="shared" si="0"/>
        <v>625</v>
      </c>
      <c r="I17">
        <f t="shared" si="1"/>
        <v>3600</v>
      </c>
      <c r="J17">
        <f t="shared" si="20"/>
        <v>430</v>
      </c>
      <c r="K17">
        <f t="shared" si="21"/>
        <v>2115</v>
      </c>
    </row>
    <row r="18" spans="7:11" x14ac:dyDescent="0.25">
      <c r="G18">
        <v>16</v>
      </c>
      <c r="J18">
        <f t="shared" si="20"/>
        <v>444</v>
      </c>
      <c r="K18">
        <f t="shared" si="21"/>
        <v>2256</v>
      </c>
    </row>
  </sheetData>
  <mergeCells count="10">
    <mergeCell ref="T1:U1"/>
    <mergeCell ref="V1:W1"/>
    <mergeCell ref="X1:Y1"/>
    <mergeCell ref="Z1:AA1"/>
    <mergeCell ref="H1:I1"/>
    <mergeCell ref="J1:K1"/>
    <mergeCell ref="L1:M1"/>
    <mergeCell ref="N1:O1"/>
    <mergeCell ref="P1:Q1"/>
    <mergeCell ref="R1:S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 Running 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 Hang Chang</dc:creator>
  <cp:lastModifiedBy>Chang Zee Hang</cp:lastModifiedBy>
  <dcterms:created xsi:type="dcterms:W3CDTF">2015-06-05T18:17:20Z</dcterms:created>
  <dcterms:modified xsi:type="dcterms:W3CDTF">2026-10-31T09:30:26Z</dcterms:modified>
</cp:coreProperties>
</file>